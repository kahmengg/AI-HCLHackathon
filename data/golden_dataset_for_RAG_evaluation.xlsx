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tut.ye\Downloads\BJB\WealthManagementAI_Assistant_Dataset\"/>
    </mc:Choice>
  </mc:AlternateContent>
  <xr:revisionPtr revIDLastSave="0" documentId="13_ncr:1_{9FB0D27C-0941-44C0-8B5F-31E3FB844AC7}" xr6:coauthVersionLast="47" xr6:coauthVersionMax="47" xr10:uidLastSave="{00000000-0000-0000-0000-000000000000}"/>
  <bookViews>
    <workbookView xWindow="-108" yWindow="-108" windowWidth="23256" windowHeight="13896" tabRatio="500" activeTab="1" xr2:uid="{00000000-000D-0000-FFFF-FFFF00000000}"/>
  </bookViews>
  <sheets>
    <sheet name="Instructions" sheetId="1" r:id="rId1"/>
    <sheet name="Golden Datas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7" i="2" l="1"/>
  <c r="U7" i="2"/>
  <c r="T7" i="2"/>
  <c r="S7" i="2"/>
  <c r="V6" i="2"/>
  <c r="U6" i="2"/>
  <c r="T6" i="2"/>
  <c r="S6" i="2"/>
  <c r="V5" i="2"/>
  <c r="U5" i="2"/>
  <c r="T5" i="2"/>
  <c r="S5" i="2"/>
  <c r="V4" i="2"/>
  <c r="U4" i="2"/>
  <c r="T4" i="2"/>
  <c r="S4" i="2"/>
  <c r="V3" i="2"/>
  <c r="U3" i="2"/>
  <c r="T3" i="2"/>
  <c r="S3" i="2"/>
  <c r="V2" i="2"/>
  <c r="U2" i="2"/>
  <c r="T2" i="2"/>
  <c r="S2" i="2"/>
</calcChain>
</file>

<file path=xl/sharedStrings.xml><?xml version="1.0" encoding="utf-8"?>
<sst xmlns="http://schemas.openxmlformats.org/spreadsheetml/2006/main" count="97" uniqueCount="95">
  <si>
    <t>Wealth Management AI Assistant — Golden Dataset &amp; Evaluation Workbook</t>
  </si>
  <si>
    <t>How to use this workbook</t>
  </si>
  <si>
    <t>This workbook has two tabs:</t>
  </si>
  <si>
    <t xml:space="preserve">  1. "Instructions" (this tab)</t>
  </si>
  <si>
    <t xml:space="preserve">  2. "Golden Dataset" — the evaluation table</t>
  </si>
  <si>
    <t>COLUMNS ALREADY COMPLETED (reference / golden data — do not need to be filled in):</t>
  </si>
  <si>
    <t xml:space="preserve">  A. S/N</t>
  </si>
  <si>
    <t xml:space="preserve">  B. Topic of the query</t>
  </si>
  <si>
    <t xml:space="preserve">  C. Sample query</t>
  </si>
  <si>
    <t xml:space="preserve">  D. Citation sources</t>
  </si>
  <si>
    <t xml:space="preserve">  E. Relevant paragraph(s) containing supporting evidence</t>
  </si>
  <si>
    <t xml:space="preserve">  F. Expected answer</t>
  </si>
  <si>
    <t xml:space="preserve">  K. Number of relevant paragraph(s) in the knowledge base</t>
  </si>
  <si>
    <t xml:space="preserve">  N. Number of key points in the expected answer</t>
  </si>
  <si>
    <t>COLUMNS TO COMPLETE AFTER RUNNING YOUR CHATBOT (shaded yellow in the Golden Dataset tab):</t>
  </si>
  <si>
    <t xml:space="preserve">  G. Response generated by the chatbot — paste the chatbot's actual answer to the Sample Query</t>
  </si>
  <si>
    <t xml:space="preserve">  H. Source(s) referenced by the chatbot — which document(s) the chatbot cited</t>
  </si>
  <si>
    <t xml:space="preserve">  I. Paragraph(s) referenced by the chatbot — which specific passage(s) the chatbot cited or retrieved</t>
  </si>
  <si>
    <t xml:space="preserve">  J. Factually correct (Yes / No) — your judgement on whether the response is factually accurate against the Expected answer</t>
  </si>
  <si>
    <t xml:space="preserve">  L. Number of paragraph(s) retrieved — total paragraphs your retrieval system returned for this query</t>
  </si>
  <si>
    <t xml:space="preserve">  M. Number of relevant paragraph(s) retrieved — how many of those retrieved paragraphs were actually relevant</t>
  </si>
  <si>
    <t xml:space="preserve">  O. Number of key points in the generated response — count distinct factual points the chatbot made</t>
  </si>
  <si>
    <t xml:space="preserve">  P. Number of claims in the response supported by context — how many of the chatbot's claims are backed by a retrieved passage</t>
  </si>
  <si>
    <t xml:space="preserve">  Q. Number of claims in the generated response — total distinct factual claims made by the chatbot</t>
  </si>
  <si>
    <t xml:space="preserve">  R. Remarks — any notes on failure modes, hallucination, missed nuance, etc.</t>
  </si>
  <si>
    <t>OPTIONAL COMPUTED METRICS (columns S–V, shaded blue in the Golden Dataset tab):</t>
  </si>
  <si>
    <t xml:space="preserve">  These are calculated automatically by formula once you fill in columns K, L, M, N, O, P, Q.</t>
  </si>
  <si>
    <t xml:space="preserve">  S. Context Precision      = M / L   (of what was retrieved, how much was relevant)</t>
  </si>
  <si>
    <t xml:space="preserve">  T. Context Recall         = M / K   (of what was relevant, how much was retrieved)</t>
  </si>
  <si>
    <t xml:space="preserve">  U. Answer Completeness    = O / N   (key points covered vs. key points expected)</t>
  </si>
  <si>
    <t xml:space="preserve">  V. Faithfulness           = P / Q   (claims grounded in retrieved context vs. total claims made)</t>
  </si>
  <si>
    <t>NOTES ON THE 5 REFERENCE QUERIES INCLUDED:</t>
  </si>
  <si>
    <t xml:space="preserve">  Row 2 is a worked EXAMPLE showing what a fully completed row looks like — replace or delete it before use.</t>
  </si>
  <si>
    <t xml:space="preserve">  Rows 3–7 are the 5 golden queries, spanning: a simple single-document lookup, a suitability breach</t>
  </si>
  <si>
    <t xml:space="preserve">  requiring cross-document synthesis, a numeric/temporal reasoning check, a genuinely ambiguous policy</t>
  </si>
  <si>
    <t xml:space="preserve">  question (row 6 — the correct answer is to surface the ambiguity, not assert a firm yes/no), and a</t>
  </si>
  <si>
    <t xml:space="preserve">  multi-hop timeline reconstruction across five different source types.</t>
  </si>
  <si>
    <t>All client names, correspondence, and figures referenced are fictitious and prepared for illustrative</t>
  </si>
  <si>
    <t>and training purposes.</t>
  </si>
  <si>
    <t>S/N</t>
  </si>
  <si>
    <t>Topic of the query</t>
  </si>
  <si>
    <t>Sample query</t>
  </si>
  <si>
    <t>Citation sources</t>
  </si>
  <si>
    <t>Relevant paragraph(s) containing supporting evidence</t>
  </si>
  <si>
    <t>Expected answer</t>
  </si>
  <si>
    <t>Response generated by the chatbot</t>
  </si>
  <si>
    <t>Source(s) referenced by the chatbot</t>
  </si>
  <si>
    <t>Paragraph(s) referenced by the chatbot</t>
  </si>
  <si>
    <t>Factually correct (Yes / No)</t>
  </si>
  <si>
    <t>Number of relevant paragraph(s) in the knowledge base</t>
  </si>
  <si>
    <t>Number of paragraph(s) retrieved</t>
  </si>
  <si>
    <t>Number of relevant paragraph(s) retrieved</t>
  </si>
  <si>
    <t>Number of key points in the expected answer</t>
  </si>
  <si>
    <t>Number of key points in the generated response</t>
  </si>
  <si>
    <t>Number of claims in the response supported by context</t>
  </si>
  <si>
    <t>Number of claims in the generated response</t>
  </si>
  <si>
    <t>Remarks</t>
  </si>
  <si>
    <t>Context Precision</t>
  </si>
  <si>
    <t>Context Recall</t>
  </si>
  <si>
    <t>Answer Completeness</t>
  </si>
  <si>
    <t>Faithfulness</t>
  </si>
  <si>
    <t>EX</t>
  </si>
  <si>
    <t>EXAMPLE ROW — replace/delete before use</t>
  </si>
  <si>
    <t>What is the minimum initial investment for the APAC Stable Income Money Market Fund?</t>
  </si>
  <si>
    <t>fund_factsheet_safe.pdf</t>
  </si>
  <si>
    <t>Key Facts table: “Minimum Initial Investment: SGD 10,000 (retail); SGD 1,000 subsequent.”</t>
  </si>
  <si>
    <t>SGD 10,000 for a retail investor's initial investment, with SGD 1,000 for subsequent investments.</t>
  </si>
  <si>
    <t>The minimum initial investment is SGD 10,000 for retail investors, with SGD 1,000 for top-ups.</t>
  </si>
  <si>
    <t>Key Facts table, “Minimum Initial Investment” row</t>
  </si>
  <si>
    <t>Yes</t>
  </si>
  <si>
    <t>Example only — chatbot answer matched the fact sheet exactly.</t>
  </si>
  <si>
    <t>Product Fact Sheet — Risk Rating &amp; Minimum Investment</t>
  </si>
  <si>
    <t>What is the Summary Risk Indicator (SRI) rating of the APAC Stable Income Money Market Fund, and what is the minimum initial investment for a retail investor?</t>
  </si>
  <si>
    <t>Risk banner: “SUMMARY RISK INDICATOR — 1 / 7 — LOW RISK — Capital Preservation Objective.”
Key Facts table: “Minimum Initial Investment: SGD 10,000 (retail); SGD 1,000 subsequent.”</t>
  </si>
  <si>
    <t>The fund has an SRI of 1 out of 7 (low risk), with a capital preservation objective. The minimum initial investment for a retail investor is SGD 10,000, with SGD 1,000 for subsequent investments.</t>
  </si>
  <si>
    <t>Suitability Assessment — Complex Product Mis-Sale</t>
  </si>
  <si>
    <t>Is Robert Chua's (CL002) holding of the APEX Global Multi-Asset Autocallable Note Series 7 suitable given his risk profile? What documentation is missing?</t>
  </si>
  <si>
    <t>clients_portfolio.json (CL002); policy_investment_suitability.pdf (Section 4); rm_call_notes_log.pdf (2026-01-20 entry); client_correspondence.json (EML-006); client_complaint_letters.pdf (CPL-2026-014)</t>
  </si>
  <si>
    <t>clients_portfolio.json CL002: risk_profile “Conservative,” risk_score_1_to_10: 2; holding “APEX Global Multi-Asset Autocallable Note Series 7” at allocation_pct 15.
policy_investment_suitability.pdf §4: “Complex Products may only be recommended to clients with a Risk Score of 7 or above … UNLESS the client is an Accredited Investor, Expert Investor, or Institutional Investor.”
rm_call_notes_log.pdf (2026-01-20, Grace Lim): client “stated he ‘did not fully understand’ how the note worked.”
client_correspondence.json EML-006 (Grace Lim, 2026-02-07): “I cannot locate a signed product-specific risk acknowledgement for the APEX Note on this account, only the general onboarding risk disclosure signed in 2023.”
client_complaint_letters.pdf CPL-2026-014: formal complaint lodged 2026-02-05, under Compliance review.</t>
  </si>
  <si>
    <t>No, this is a suitability concern. Robert Chua (CL002) has a Conservative risk profile (Risk Score 2), but holds the APEX Autocallable Note - an SRI 7/7 Complex Product - at approximately 15% of his AUM. Under POL-INV-011 Section 4, Complex Products should generally only be recommended to clients with a Risk Score of 7+ unless they are Accredited/Expert/Institutional Investors, which Chua is not. No signed product-specific risk acknowledgement is on file for this position (only a general 2023 onboarding disclosure). His RM's call note from 2026-01-20 records that he 'did not fully understand' the product, and he has since lodged a formal complaint (CPL-2026-014) which is under Compliance review.</t>
  </si>
  <si>
    <t>Cross-Border Regulatory Check — India LRS Remittance Headroom</t>
  </si>
  <si>
    <t>How much LRS remittance headroom does Arjun Mehta (CL015) have left for the current financial year as of his July 2026 discussion with his RM, and can his planned USD 60,000 top-up proceed as-is?</t>
  </si>
  <si>
    <t>client_correspondence.json (EML-004); clients_portfolio.json (CL015); rm_call_notes_log.pdf (2026-07-25 entry)</t>
  </si>
  <si>
    <t>client_correspondence.json EML-004 (Daniel Koh, 2026-07-24): “your remittances this financial year total approximately USD 210,000, leaving roughly USD 40,000 of headroom under the USD 250,000 LRS limit. Your planned USD 60,000 remittance would exceed that by about USD 20,000.”
clients_portfolio.json CL015 notes: “remittances under India's USD 250,000-per-year LRS limit must be tracked per financial year; client remits close to the annual cap.”
rm_call_notes_log.pdf (2026-07-25): “Client confirmed approximately USD 40,000 of headroom remaining for the current financial year … RM advised client to confirm exact figure with his India-based tax advisor before initiating transfer.”</t>
  </si>
  <si>
    <t>No, not as-is. Based on the RM's calculation in the 2026-07-24 email thread, Arjun Mehta had remitted approximately USD 210,000 of India's USD 250,000 annual Liberalised Remittance Scheme (LRS) limit, leaving roughly USD 40,000 of headroom. His planned USD 60,000 remittance would exceed the remaining headroom by about USD 20,000. His RM advised confirming the exact figure with his India-based tax advisor before initiating the transfer, and the client agreed to do so before proceeding.</t>
  </si>
  <si>
    <t>Ambiguous Policy Interpretation — Complex Product Concentration Limit</t>
  </si>
  <si>
    <t>Does Park Ji-hoon's (CL011) 35% portfolio allocation to the APEX Autocallable Note breach firm policy?</t>
  </si>
  <si>
    <t>clients_portfolio.json (CL011); policy_investment_suitability.pdf (Section 4); rm_call_notes_log.pdf (2026-06-10 entry)</t>
  </si>
  <si>
    <t>policy_investment_suitability.pdf §4: “No Complex Product may represent more than 20% of a Retail Investor's liquid net worth at the time of sale, absent documented senior management exception.”
clients_portfolio.json CL011 suitability_flag: “REVIEW RECOMMENDED - Single Complex Product (autocallable note) represents 35% of AUM, exceeding the 20% concentration guideline … Client is an Accredited Investor, for whom the 20% cap applies only to Retail Investors, but no documented senior-management concentration exception is on file either way.”
rm_call_notes_log.pdf (2026-06-10): “Concentration guideline query pending Compliance response — no exception documented as of log date.”</t>
  </si>
  <si>
    <t>This is genuinely ambiguous and the correct answer should reflect that, not assert a firm yes or no. POL-INV-011 Section 4's 20% concentration guideline for Complex Products is worded as applying specifically to a 'Retail Investor's liquid net worth.' Park Ji-hoon is an Accredited Investor, so a literal reading suggests the 20% cap does not technically apply to him. However, his RM raised an internal concentration concern to Compliance on 2026-06-11 precisely because of this ambiguity, and as of the latest call note, no written guidance had been received and no documented senior-management exception exists either way. A well-calibrated answer should present both the literal policy reading and the unresolved internal query, rather than confidently declaring compliance or breach.</t>
  </si>
  <si>
    <t>Client Servicing Timeline — Portfolio Rebalancing Delay</t>
  </si>
  <si>
    <t>Walk me through what has happened with James Sullivan's (CL013) request to de-risk his portfolio ahead of retirement. Has any rebalancing actually occurred yet?</t>
  </si>
  <si>
    <t>client_correspondence.json (EML-005); rm_call_notes_log.pdf (2026-08-11 entry); client_complaint_letters.pdf (CPL-2026-057); transactions.csv (CL013 pending entry); clients_portfolio.json (CL013)</t>
  </si>
  <si>
    <t>client_correspondence.json EML-005 (James Sullivan, 2026-08-07): “I've given notice at work and will be retiring in about 6 months … I want to de-risk my portfolio before I finish up.”
rm_call_notes_log.pdf (2026-08-11): phased rebalancing plan over two quarters discussed and agreed; written proposal due by 2026-08-25.
client_complaint_letters.pdf CPL-2026-057 (2026-08-20): “it is now nearly two weeks later and, to the best of my knowledge, no rebalancing trades have been made.”
transactions.csv CL013 entry: “Phased rebalancing plan discussed on call 2026-08-11; no trades booked as of the last account review.”
clients_portfolio.json CL013 suitability_flag: “SUITABILITY EXCEPTION - Risk profile revised to Conservative on 2026-08-10 … portfolio (65% growth equity + 15% illiquid Private Equity) has not been rebalanced.”</t>
  </si>
  <si>
    <t>No rebalancing has occurred yet, despite the request being over two weeks old at the time of his complaint. Timeline: (1) 2026-08-07 - James Sullivan emails RM Daniel Koh to say he is retiring in about 6 months and wants to de-risk. (2) 2026-08-08 - Daniel schedules a call for 2026-08-11. (3) 2026-08-10 - the client's risk profile is updated in the CRM from Growth to Conservative. (4) 2026-08-11 - on the call, Daniel proposes a phased rebalancing plan over two quarters, which the client accepts; the RM commits to preparing a written proposal by 2026-08-25. (5) 2026-08-20 - the client files a formal complaint (CPL-2026-057) because no trades have been booked and his holdings are unchanged (~65% growth equities, 15% illiquid Private Equity). The transaction ledger confirms this: the only related entry is a 'Pending' rebalancing record with no executed trades.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</si>
</sst>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0B2545"/>
      <name val="Arial"/>
      <charset val="1"/>
    </font>
    <font>
      <b/>
      <sz val="11"/>
      <name val="Arial"/>
      <charset val="1"/>
    </font>
    <font>
      <sz val="10"/>
      <name val="Arial"/>
      <charset val="1"/>
    </font>
    <font>
      <b/>
      <sz val="10"/>
      <name val="Arial"/>
      <charset val="1"/>
    </font>
    <font>
      <b/>
      <sz val="10"/>
      <color rgb="FFFFFFFF"/>
      <name val="Arial"/>
      <charset val="1"/>
    </font>
    <font>
      <i/>
      <sz val="9"/>
      <color rgb="FF7F7F7F"/>
      <name val="Arial"/>
      <charset val="1"/>
    </font>
    <font>
      <sz val="9"/>
      <name val="Arial"/>
      <charset val="1"/>
    </font>
  </fonts>
  <fills count="7">
    <fill>
      <patternFill patternType="none"/>
    </fill>
    <fill>
      <patternFill patternType="gray125"/>
    </fill>
    <fill>
      <patternFill patternType="solid">
        <fgColor rgb="FF0B2545"/>
        <bgColor rgb="FF333333"/>
      </patternFill>
    </fill>
    <fill>
      <patternFill patternType="solid">
        <fgColor rgb="FFF2F2F2"/>
        <bgColor rgb="FFE2EFDA"/>
      </patternFill>
    </fill>
    <fill>
      <patternFill patternType="solid">
        <fgColor rgb="FFE2EFDA"/>
        <bgColor rgb="FFDDEBF7"/>
      </patternFill>
    </fill>
    <fill>
      <patternFill patternType="solid">
        <fgColor rgb="FFFFF2CC"/>
        <bgColor rgb="FFF2F2F2"/>
      </patternFill>
    </fill>
    <fill>
      <patternFill patternType="solid">
        <fgColor rgb="FFDDEBF7"/>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xf>
    <xf numFmtId="0" fontId="5" fillId="2" borderId="1" xfId="0" applyFont="1" applyFill="1" applyBorder="1" applyAlignment="1">
      <alignment horizontal="center" vertical="center" wrapText="1"/>
    </xf>
    <xf numFmtId="0" fontId="6" fillId="3" borderId="1" xfId="0" applyFont="1" applyFill="1" applyBorder="1" applyAlignment="1">
      <alignment vertical="top" wrapText="1"/>
    </xf>
    <xf numFmtId="9" fontId="6" fillId="3" borderId="1" xfId="0" applyNumberFormat="1" applyFont="1" applyFill="1" applyBorder="1"/>
    <xf numFmtId="0" fontId="7" fillId="4" borderId="1" xfId="0" applyFont="1" applyFill="1" applyBorder="1" applyAlignment="1">
      <alignment vertical="top" wrapText="1"/>
    </xf>
    <xf numFmtId="0" fontId="7" fillId="5" borderId="1" xfId="0" applyFont="1" applyFill="1" applyBorder="1" applyAlignment="1">
      <alignment vertical="top" wrapText="1"/>
    </xf>
    <xf numFmtId="9" fontId="7" fillId="6"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2545"/>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zoomScaleNormal="100" workbookViewId="0"/>
  </sheetViews>
  <sheetFormatPr defaultColWidth="8.6640625" defaultRowHeight="14.4" x14ac:dyDescent="0.3"/>
  <cols>
    <col min="1" max="1" width="110" customWidth="1"/>
  </cols>
  <sheetData>
    <row r="1" spans="1:1" ht="17.399999999999999" x14ac:dyDescent="0.3">
      <c r="A1" s="1" t="s">
        <v>0</v>
      </c>
    </row>
    <row r="2" spans="1:1" x14ac:dyDescent="0.3">
      <c r="A2" s="2" t="s">
        <v>1</v>
      </c>
    </row>
    <row r="3" spans="1:1" x14ac:dyDescent="0.3">
      <c r="A3" s="3"/>
    </row>
    <row r="4" spans="1:1" x14ac:dyDescent="0.3">
      <c r="A4" s="4" t="s">
        <v>2</v>
      </c>
    </row>
    <row r="5" spans="1:1" x14ac:dyDescent="0.3">
      <c r="A5" s="3" t="s">
        <v>3</v>
      </c>
    </row>
    <row r="6" spans="1:1" x14ac:dyDescent="0.3">
      <c r="A6" s="3" t="s">
        <v>4</v>
      </c>
    </row>
    <row r="7" spans="1:1" x14ac:dyDescent="0.3">
      <c r="A7" s="3"/>
    </row>
    <row r="8" spans="1:1" x14ac:dyDescent="0.3">
      <c r="A8" s="4" t="s">
        <v>5</v>
      </c>
    </row>
    <row r="9" spans="1:1" x14ac:dyDescent="0.3">
      <c r="A9" s="3" t="s">
        <v>6</v>
      </c>
    </row>
    <row r="10" spans="1:1" x14ac:dyDescent="0.3">
      <c r="A10" s="3" t="s">
        <v>7</v>
      </c>
    </row>
    <row r="11" spans="1:1" x14ac:dyDescent="0.3">
      <c r="A11" s="3" t="s">
        <v>8</v>
      </c>
    </row>
    <row r="12" spans="1:1" x14ac:dyDescent="0.3">
      <c r="A12" s="3" t="s">
        <v>9</v>
      </c>
    </row>
    <row r="13" spans="1:1" x14ac:dyDescent="0.3">
      <c r="A13" s="3" t="s">
        <v>10</v>
      </c>
    </row>
    <row r="14" spans="1:1" x14ac:dyDescent="0.3">
      <c r="A14" s="3" t="s">
        <v>11</v>
      </c>
    </row>
    <row r="15" spans="1:1" x14ac:dyDescent="0.3">
      <c r="A15" s="3" t="s">
        <v>12</v>
      </c>
    </row>
    <row r="16" spans="1:1" x14ac:dyDescent="0.3">
      <c r="A16" s="3" t="s">
        <v>13</v>
      </c>
    </row>
    <row r="17" spans="1:1" x14ac:dyDescent="0.3">
      <c r="A17" s="3"/>
    </row>
    <row r="18" spans="1:1" x14ac:dyDescent="0.3">
      <c r="A18" s="4" t="s">
        <v>14</v>
      </c>
    </row>
    <row r="19" spans="1:1" x14ac:dyDescent="0.3">
      <c r="A19" s="3" t="s">
        <v>15</v>
      </c>
    </row>
    <row r="20" spans="1:1" x14ac:dyDescent="0.3">
      <c r="A20" s="3" t="s">
        <v>16</v>
      </c>
    </row>
    <row r="21" spans="1:1" x14ac:dyDescent="0.3">
      <c r="A21" s="3" t="s">
        <v>17</v>
      </c>
    </row>
    <row r="22" spans="1:1" x14ac:dyDescent="0.3">
      <c r="A22" s="3" t="s">
        <v>18</v>
      </c>
    </row>
    <row r="23" spans="1:1" x14ac:dyDescent="0.3">
      <c r="A23" s="3" t="s">
        <v>19</v>
      </c>
    </row>
    <row r="24" spans="1:1" x14ac:dyDescent="0.3">
      <c r="A24" s="3" t="s">
        <v>20</v>
      </c>
    </row>
    <row r="25" spans="1:1" x14ac:dyDescent="0.3">
      <c r="A25" s="3" t="s">
        <v>21</v>
      </c>
    </row>
    <row r="26" spans="1:1" x14ac:dyDescent="0.3">
      <c r="A26" s="3" t="s">
        <v>22</v>
      </c>
    </row>
    <row r="27" spans="1:1" x14ac:dyDescent="0.3">
      <c r="A27" s="3" t="s">
        <v>23</v>
      </c>
    </row>
    <row r="28" spans="1:1" x14ac:dyDescent="0.3">
      <c r="A28" s="3" t="s">
        <v>24</v>
      </c>
    </row>
    <row r="29" spans="1:1" x14ac:dyDescent="0.3">
      <c r="A29" s="3"/>
    </row>
    <row r="30" spans="1:1" x14ac:dyDescent="0.3">
      <c r="A30" s="4" t="s">
        <v>25</v>
      </c>
    </row>
    <row r="31" spans="1:1" x14ac:dyDescent="0.3">
      <c r="A31" s="3" t="s">
        <v>26</v>
      </c>
    </row>
    <row r="32" spans="1:1" x14ac:dyDescent="0.3">
      <c r="A32" s="3" t="s">
        <v>27</v>
      </c>
    </row>
    <row r="33" spans="1:1" x14ac:dyDescent="0.3">
      <c r="A33" s="3" t="s">
        <v>28</v>
      </c>
    </row>
    <row r="34" spans="1:1" x14ac:dyDescent="0.3">
      <c r="A34" s="3" t="s">
        <v>29</v>
      </c>
    </row>
    <row r="35" spans="1:1" x14ac:dyDescent="0.3">
      <c r="A35" s="3" t="s">
        <v>30</v>
      </c>
    </row>
    <row r="36" spans="1:1" x14ac:dyDescent="0.3">
      <c r="A36" s="3"/>
    </row>
    <row r="37" spans="1:1" x14ac:dyDescent="0.3">
      <c r="A37" s="4" t="s">
        <v>31</v>
      </c>
    </row>
    <row r="38" spans="1:1" x14ac:dyDescent="0.3">
      <c r="A38" s="3" t="s">
        <v>32</v>
      </c>
    </row>
    <row r="39" spans="1:1" x14ac:dyDescent="0.3">
      <c r="A39" s="3" t="s">
        <v>33</v>
      </c>
    </row>
    <row r="40" spans="1:1" x14ac:dyDescent="0.3">
      <c r="A40" s="3" t="s">
        <v>34</v>
      </c>
    </row>
    <row r="41" spans="1:1" x14ac:dyDescent="0.3">
      <c r="A41" s="3" t="s">
        <v>35</v>
      </c>
    </row>
    <row r="42" spans="1:1" x14ac:dyDescent="0.3">
      <c r="A42" s="3" t="s">
        <v>36</v>
      </c>
    </row>
    <row r="43" spans="1:1" x14ac:dyDescent="0.3">
      <c r="A43" s="3"/>
    </row>
    <row r="44" spans="1:1" x14ac:dyDescent="0.3">
      <c r="A44" s="3" t="s">
        <v>37</v>
      </c>
    </row>
    <row r="45" spans="1:1" x14ac:dyDescent="0.3">
      <c r="A45" s="3" t="s">
        <v>38</v>
      </c>
    </row>
  </sheetData>
  <pageMargins left="0.75" right="0.75" top="1" bottom="1" header="0.511811023622047" footer="0.511811023622047"/>
  <pageSetup paperSize="9" orientation="portrait" horizontalDpi="300" verticalDpi="300"/>
  <headerFooter>
    <oddHeader>&amp;L&amp;"Aptos"&amp;10&amp;K008000 Classification: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J4" sqref="J4"/>
    </sheetView>
  </sheetViews>
  <sheetFormatPr defaultColWidth="8.6640625" defaultRowHeight="14.4" x14ac:dyDescent="0.3"/>
  <cols>
    <col min="1" max="1" width="6" customWidth="1"/>
    <col min="2" max="2" width="19.6640625" bestFit="1" customWidth="1"/>
    <col min="3" max="3" width="34" customWidth="1"/>
    <col min="4" max="4" width="22" customWidth="1"/>
    <col min="5" max="5" width="46" customWidth="1"/>
    <col min="6" max="6" width="38" customWidth="1"/>
    <col min="7" max="7" width="34" customWidth="1"/>
    <col min="8" max="8" width="20" customWidth="1"/>
    <col min="9" max="9" width="30" customWidth="1"/>
    <col min="10" max="10" width="32.77734375" customWidth="1"/>
    <col min="11" max="11" width="17.77734375" customWidth="1"/>
    <col min="12" max="12" width="15.44140625" customWidth="1"/>
    <col min="13" max="13" width="14.77734375" customWidth="1"/>
    <col min="14" max="17" width="12" customWidth="1"/>
    <col min="18" max="18" width="26" customWidth="1"/>
    <col min="19" max="20" width="13" customWidth="1"/>
    <col min="21" max="21" width="15" customWidth="1"/>
    <col min="22" max="22" width="12" customWidth="1"/>
  </cols>
  <sheetData>
    <row r="1" spans="1:22" ht="79.2" x14ac:dyDescent="0.3">
      <c r="A1" s="5" t="s">
        <v>39</v>
      </c>
      <c r="B1" s="5" t="s">
        <v>40</v>
      </c>
      <c r="C1" s="5" t="s">
        <v>41</v>
      </c>
      <c r="D1" s="5" t="s">
        <v>42</v>
      </c>
      <c r="E1" s="5" t="s">
        <v>43</v>
      </c>
      <c r="F1" s="5" t="s">
        <v>44</v>
      </c>
      <c r="G1" s="5" t="s">
        <v>45</v>
      </c>
      <c r="H1" s="5" t="s">
        <v>46</v>
      </c>
      <c r="I1" s="5" t="s">
        <v>47</v>
      </c>
      <c r="J1" s="5" t="s">
        <v>48</v>
      </c>
      <c r="K1" s="5" t="s">
        <v>49</v>
      </c>
      <c r="L1" s="5" t="s">
        <v>50</v>
      </c>
      <c r="M1" s="5" t="s">
        <v>51</v>
      </c>
      <c r="N1" s="5" t="s">
        <v>52</v>
      </c>
      <c r="O1" s="5" t="s">
        <v>53</v>
      </c>
      <c r="P1" s="5" t="s">
        <v>54</v>
      </c>
      <c r="Q1" s="5" t="s">
        <v>55</v>
      </c>
      <c r="R1" s="5" t="s">
        <v>56</v>
      </c>
      <c r="S1" s="5" t="s">
        <v>57</v>
      </c>
      <c r="T1" s="5" t="s">
        <v>58</v>
      </c>
      <c r="U1" s="5" t="s">
        <v>59</v>
      </c>
      <c r="V1" s="5" t="s">
        <v>60</v>
      </c>
    </row>
    <row r="2" spans="1:22" ht="34.200000000000003" x14ac:dyDescent="0.3">
      <c r="A2" s="6" t="s">
        <v>61</v>
      </c>
      <c r="B2" s="6" t="s">
        <v>62</v>
      </c>
      <c r="C2" s="6" t="s">
        <v>63</v>
      </c>
      <c r="D2" s="6" t="s">
        <v>64</v>
      </c>
      <c r="E2" s="6" t="s">
        <v>65</v>
      </c>
      <c r="F2" s="6" t="s">
        <v>66</v>
      </c>
      <c r="G2" s="6" t="s">
        <v>67</v>
      </c>
      <c r="H2" s="6" t="s">
        <v>64</v>
      </c>
      <c r="I2" s="6" t="s">
        <v>68</v>
      </c>
      <c r="J2" s="6" t="s">
        <v>69</v>
      </c>
      <c r="K2" s="6">
        <v>1</v>
      </c>
      <c r="L2" s="6">
        <v>1</v>
      </c>
      <c r="M2" s="6">
        <v>1</v>
      </c>
      <c r="N2" s="6">
        <v>1</v>
      </c>
      <c r="O2" s="6">
        <v>1</v>
      </c>
      <c r="P2" s="6">
        <v>1</v>
      </c>
      <c r="Q2" s="6">
        <v>1</v>
      </c>
      <c r="R2" s="6" t="s">
        <v>70</v>
      </c>
      <c r="S2" s="7">
        <f t="shared" ref="S2:S7" si="0">IF(OR(L2="",M2=""),"",IFERROR(M2/L2,""))</f>
        <v>1</v>
      </c>
      <c r="T2" s="7">
        <f t="shared" ref="T2:T7" si="1">IF(OR(K2="",M2=""),"",IFERROR(M2/K2,""))</f>
        <v>1</v>
      </c>
      <c r="U2" s="7">
        <f t="shared" ref="U2:U7" si="2">IF(OR(N2="",O2=""),"",IFERROR(O2/N2,""))</f>
        <v>1</v>
      </c>
      <c r="V2" s="7">
        <f t="shared" ref="V2:V7" si="3">IF(OR(P2="",Q2=""),"",IFERROR(P2/Q2,""))</f>
        <v>1</v>
      </c>
    </row>
    <row r="3" spans="1:22" ht="73.2" customHeight="1" x14ac:dyDescent="0.3">
      <c r="A3" s="8">
        <v>1</v>
      </c>
      <c r="B3" s="8" t="s">
        <v>71</v>
      </c>
      <c r="C3" s="8" t="s">
        <v>72</v>
      </c>
      <c r="D3" s="8" t="s">
        <v>64</v>
      </c>
      <c r="E3" s="8" t="s">
        <v>73</v>
      </c>
      <c r="F3" s="8" t="s">
        <v>74</v>
      </c>
      <c r="G3" s="9"/>
      <c r="H3" s="9"/>
      <c r="I3" s="9"/>
      <c r="J3" s="9"/>
      <c r="K3" s="8">
        <v>2</v>
      </c>
      <c r="L3" s="9"/>
      <c r="M3" s="9"/>
      <c r="N3" s="8">
        <v>4</v>
      </c>
      <c r="O3" s="9"/>
      <c r="P3" s="9"/>
      <c r="Q3" s="9"/>
      <c r="R3" s="9"/>
      <c r="S3" s="10" t="str">
        <f t="shared" si="0"/>
        <v/>
      </c>
      <c r="T3" s="10" t="str">
        <f t="shared" si="1"/>
        <v/>
      </c>
      <c r="U3" s="10" t="str">
        <f t="shared" si="2"/>
        <v/>
      </c>
      <c r="V3" s="10" t="str">
        <f t="shared" si="3"/>
        <v/>
      </c>
    </row>
    <row r="4" spans="1:22" ht="212.4" customHeight="1" x14ac:dyDescent="0.3">
      <c r="A4" s="8">
        <v>2</v>
      </c>
      <c r="B4" s="8" t="s">
        <v>75</v>
      </c>
      <c r="C4" s="8" t="s">
        <v>76</v>
      </c>
      <c r="D4" s="8" t="s">
        <v>77</v>
      </c>
      <c r="E4" s="8" t="s">
        <v>78</v>
      </c>
      <c r="F4" s="8" t="s">
        <v>79</v>
      </c>
      <c r="G4" s="9"/>
      <c r="H4" s="9"/>
      <c r="I4" s="9"/>
      <c r="J4" s="9"/>
      <c r="K4" s="8">
        <v>5</v>
      </c>
      <c r="L4" s="9"/>
      <c r="M4" s="9"/>
      <c r="N4" s="8">
        <v>7</v>
      </c>
      <c r="O4" s="9"/>
      <c r="P4" s="9"/>
      <c r="Q4" s="9"/>
      <c r="R4" s="9"/>
      <c r="S4" s="10" t="str">
        <f t="shared" si="0"/>
        <v/>
      </c>
      <c r="T4" s="10" t="str">
        <f t="shared" si="1"/>
        <v/>
      </c>
      <c r="U4" s="10" t="str">
        <f t="shared" si="2"/>
        <v/>
      </c>
      <c r="V4" s="10" t="str">
        <f t="shared" si="3"/>
        <v/>
      </c>
    </row>
    <row r="5" spans="1:22" ht="193.8" customHeight="1" x14ac:dyDescent="0.3">
      <c r="A5" s="8">
        <v>3</v>
      </c>
      <c r="B5" s="8" t="s">
        <v>80</v>
      </c>
      <c r="C5" s="8" t="s">
        <v>81</v>
      </c>
      <c r="D5" s="8" t="s">
        <v>82</v>
      </c>
      <c r="E5" s="8" t="s">
        <v>83</v>
      </c>
      <c r="F5" s="8" t="s">
        <v>84</v>
      </c>
      <c r="G5" s="9"/>
      <c r="H5" s="9"/>
      <c r="I5" s="9"/>
      <c r="J5" s="9"/>
      <c r="K5" s="8">
        <v>3</v>
      </c>
      <c r="L5" s="9"/>
      <c r="M5" s="9"/>
      <c r="N5" s="8">
        <v>5</v>
      </c>
      <c r="O5" s="9"/>
      <c r="P5" s="9"/>
      <c r="Q5" s="9"/>
      <c r="R5" s="9"/>
      <c r="S5" s="10" t="str">
        <f t="shared" si="0"/>
        <v/>
      </c>
      <c r="T5" s="10" t="str">
        <f t="shared" si="1"/>
        <v/>
      </c>
      <c r="U5" s="10" t="str">
        <f t="shared" si="2"/>
        <v/>
      </c>
      <c r="V5" s="10" t="str">
        <f t="shared" si="3"/>
        <v/>
      </c>
    </row>
    <row r="6" spans="1:22" ht="234" customHeight="1" x14ac:dyDescent="0.3">
      <c r="A6" s="8">
        <v>4</v>
      </c>
      <c r="B6" s="8" t="s">
        <v>85</v>
      </c>
      <c r="C6" s="8" t="s">
        <v>86</v>
      </c>
      <c r="D6" s="8" t="s">
        <v>87</v>
      </c>
      <c r="E6" s="8" t="s">
        <v>88</v>
      </c>
      <c r="F6" s="8" t="s">
        <v>89</v>
      </c>
      <c r="G6" s="9"/>
      <c r="H6" s="9"/>
      <c r="I6" s="9"/>
      <c r="J6" s="9"/>
      <c r="K6" s="8">
        <v>3</v>
      </c>
      <c r="L6" s="9"/>
      <c r="M6" s="9"/>
      <c r="N6" s="8">
        <v>6</v>
      </c>
      <c r="O6" s="9"/>
      <c r="P6" s="9"/>
      <c r="Q6" s="9"/>
      <c r="R6" s="9"/>
      <c r="S6" s="10" t="str">
        <f t="shared" si="0"/>
        <v/>
      </c>
      <c r="T6" s="10" t="str">
        <f t="shared" si="1"/>
        <v/>
      </c>
      <c r="U6" s="10" t="str">
        <f t="shared" si="2"/>
        <v/>
      </c>
      <c r="V6" s="10" t="str">
        <f t="shared" si="3"/>
        <v/>
      </c>
    </row>
    <row r="7" spans="1:22" ht="235.8" customHeight="1" x14ac:dyDescent="0.3">
      <c r="A7" s="8">
        <v>5</v>
      </c>
      <c r="B7" s="8" t="s">
        <v>90</v>
      </c>
      <c r="C7" s="8" t="s">
        <v>91</v>
      </c>
      <c r="D7" s="8" t="s">
        <v>92</v>
      </c>
      <c r="E7" s="8" t="s">
        <v>93</v>
      </c>
      <c r="F7" s="8" t="s">
        <v>94</v>
      </c>
      <c r="G7" s="9"/>
      <c r="H7" s="9"/>
      <c r="I7" s="9"/>
      <c r="J7" s="9"/>
      <c r="K7" s="8">
        <v>5</v>
      </c>
      <c r="L7" s="9"/>
      <c r="M7" s="9"/>
      <c r="N7" s="8">
        <v>6</v>
      </c>
      <c r="O7" s="9"/>
      <c r="P7" s="9"/>
      <c r="Q7" s="9"/>
      <c r="R7" s="9"/>
      <c r="S7" s="10" t="str">
        <f t="shared" si="0"/>
        <v/>
      </c>
      <c r="T7" s="10" t="str">
        <f t="shared" si="1"/>
        <v/>
      </c>
      <c r="U7" s="10" t="str">
        <f t="shared" si="2"/>
        <v/>
      </c>
      <c r="V7" s="10" t="str">
        <f t="shared" si="3"/>
        <v/>
      </c>
    </row>
  </sheetData>
  <dataValidations count="1">
    <dataValidation type="list" allowBlank="1" sqref="J2:J7" xr:uid="{00000000-0002-0000-0100-000000000000}">
      <formula1>"Yes,No"</formula1>
      <formula2>0</formula2>
    </dataValidation>
  </dataValidations>
  <pageMargins left="0.75" right="0.75" top="1" bottom="1" header="0.511811023622047" footer="0.511811023622047"/>
  <pageSetup paperSize="9" orientation="portrait" horizontalDpi="300" verticalDpi="300"/>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Golden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Htut Ye</cp:lastModifiedBy>
  <cp:revision>0</cp:revision>
  <dcterms:created xsi:type="dcterms:W3CDTF">2026-09-15T02:56:29Z</dcterms:created>
  <dcterms:modified xsi:type="dcterms:W3CDTF">2026-09-15T03:03:08Z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2026-09-15T03:03:07Z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09db9bdc-86ed-4dc2-9ab4-70fd50c1b4cc</vt:lpwstr>
  </property>
  <property fmtid="{D5CDD505-2E9C-101B-9397-08002B2CF9AE}" pid="8" name="MSIP_Label_556dfe78-8a37-4fb5-b4aa-b92b97e18d15_ContentBits">
    <vt:lpwstr>1</vt:lpwstr>
  </property>
  <property fmtid="{D5CDD505-2E9C-101B-9397-08002B2CF9AE}" pid="9" name="MSIP_Label_556dfe78-8a37-4fb5-b4aa-b92b97e18d15_Tag">
    <vt:lpwstr>10, 3, 0, 1</vt:lpwstr>
  </property>
</Properties>
</file>